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ess" sheetId="1" state="visible" r:id="rId3"/>
    <sheet name="Action Checklist" sheetId="2" state="visible" r:id="rId4"/>
    <sheet name="New Slide Order" sheetId="3" state="visible" r:id="rId5"/>
  </sheets>
  <definedNames>
    <definedName function="false" hidden="true" localSheetId="1" name="_xlnm._FilterDatabase" vbProcedure="false">'Action Checklist'!$A$4:$I$27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<sst xmlns="http://schemas.openxmlformats.org/spreadsheetml/2006/main" count="280" uniqueCount="173">
  <si>
    <t xml:space="preserve">Presentation Fix Progress</t>
  </si>
  <si>
    <t xml:space="preserve">Updates automatically from the Action Checklist tab.</t>
  </si>
  <si>
    <t xml:space="preserve">Status</t>
  </si>
  <si>
    <t xml:space="preserve">Count</t>
  </si>
  <si>
    <t xml:space="preserve">Not started</t>
  </si>
  <si>
    <t xml:space="preserve">In progress</t>
  </si>
  <si>
    <t xml:space="preserve">Done</t>
  </si>
  <si>
    <t xml:space="preserve">Skipped</t>
  </si>
  <si>
    <t xml:space="preserve">Total items</t>
  </si>
  <si>
    <t xml:space="preserve">% complete</t>
  </si>
  <si>
    <t xml:space="preserve">High-priority items not done</t>
  </si>
  <si>
    <t xml:space="preserve">Autonomy in Motion – Review Checklist</t>
  </si>
  <si>
    <t xml:space="preserve">Edit only the yellow columns: Status (pick from list) and My Notes. Example: Status = Done, My Notes = 'Notes rewritten as talking points'.</t>
  </si>
  <si>
    <t xml:space="preserve">ID</t>
  </si>
  <si>
    <t xml:space="preserve">Section</t>
  </si>
  <si>
    <t xml:space="preserve">Priority</t>
  </si>
  <si>
    <t xml:space="preserve">Slide (current #)</t>
  </si>
  <si>
    <t xml:space="preserve">Problem</t>
  </si>
  <si>
    <t xml:space="preserve">What to do</t>
  </si>
  <si>
    <t xml:space="preserve">Who it helps</t>
  </si>
  <si>
    <t xml:space="preserve">My Notes</t>
  </si>
  <si>
    <t xml:space="preserve">A01</t>
  </si>
  <si>
    <t xml:space="preserve">Must fix</t>
  </si>
  <si>
    <t xml:space="preserve">High</t>
  </si>
  <si>
    <t xml:space="preserve">5, 10–13</t>
  </si>
  <si>
    <t xml:space="preserve">Speaker notes contain build instructions, AI image prompts and 'Style option for slide 9…' text; panel may see them in presenter view or the shared file.</t>
  </si>
  <si>
    <t xml:space="preserve">Delete all speaker notes and write your own short talking points.</t>
  </si>
  <si>
    <t xml:space="preserve">Everyone</t>
  </si>
  <si>
    <t xml:space="preserve">A02</t>
  </si>
  <si>
    <t xml:space="preserve">2 and 3</t>
  </si>
  <si>
    <t xml:space="preserve">'What Shaped My Journey' appears twice.</t>
  </si>
  <si>
    <t xml:space="preserve">Keep one (slide 3 is cleaner).</t>
  </si>
  <si>
    <t xml:space="preserve">A03</t>
  </si>
  <si>
    <t xml:space="preserve">5</t>
  </si>
  <si>
    <t xml:space="preserve">Four empty 'Certificate space' boxes.</t>
  </si>
  <si>
    <t xml:space="preserve">Add certificate images, or remove boxes and list certificates as text.</t>
  </si>
  <si>
    <t xml:space="preserve">A04</t>
  </si>
  <si>
    <t xml:space="preserve">9</t>
  </si>
  <si>
    <t xml:space="preserve">Two empty video boxes (only a play button).</t>
  </si>
  <si>
    <t xml:space="preserve">Embed the videos or a photo; test on the interview laptop.</t>
  </si>
  <si>
    <t xml:space="preserve">A05</t>
  </si>
  <si>
    <t xml:space="preserve">10</t>
  </si>
  <si>
    <t xml:space="preserve">Grey placeholder person in the centre.</t>
  </si>
  <si>
    <t xml:space="preserve">Use your photo, or just your name.</t>
  </si>
  <si>
    <t xml:space="preserve">A06</t>
  </si>
  <si>
    <t xml:space="preserve">11</t>
  </si>
  <si>
    <t xml:space="preserve">'1 active patent' can be read as granted and in force.</t>
  </si>
  <si>
    <t xml:space="preserve">If filed/pending, write 'patent filed' or 'patent application'.</t>
  </si>
  <si>
    <t xml:space="preserve">Senior management</t>
  </si>
  <si>
    <t xml:space="preserve">A07</t>
  </si>
  <si>
    <t xml:space="preserve">Slide order</t>
  </si>
  <si>
    <t xml:space="preserve">Medium</t>
  </si>
  <si>
    <t xml:space="preserve">6, 12, 13</t>
  </si>
  <si>
    <t xml:space="preserve">Problem-explaining slides (Google Maps, pyramid, why it matters) come after/around project slides.</t>
  </si>
  <si>
    <t xml:space="preserve">Move them before the Airbus milestones (see 'New Slide Order' tab).</t>
  </si>
  <si>
    <t xml:space="preserve">Non-technical / senior</t>
  </si>
  <si>
    <t xml:space="preserve">A08</t>
  </si>
  <si>
    <t xml:space="preserve">Achievements sits early, before the work it recognises.</t>
  </si>
  <si>
    <t xml:space="preserve">Move after papers &amp; network, before the vision slides.</t>
  </si>
  <si>
    <t xml:space="preserve">A09</t>
  </si>
  <si>
    <t xml:space="preserve">New</t>
  </si>
  <si>
    <t xml:space="preserve">Deck ends on 'Vision &amp; challenges' with no closing.</t>
  </si>
  <si>
    <t xml:space="preserve">Add a closing slide: 3 takeaways ('What I bring') + Thank you / Questions.</t>
  </si>
  <si>
    <t xml:space="preserve">A10</t>
  </si>
  <si>
    <t xml:space="preserve">Technical members</t>
  </si>
  <si>
    <t xml:space="preserve">No slide shows HOW you solve a problem.</t>
  </si>
  <si>
    <t xml:space="preserve">Add one deep-dive slide for one project (e.g. SAMU or Scan &amp; Plan): sensor → planner → trajectory → controller → feedback, key algorithm choices, one hard problem solved.</t>
  </si>
  <si>
    <t xml:space="preserve">Technical</t>
  </si>
  <si>
    <t xml:space="preserve">A11</t>
  </si>
  <si>
    <t xml:space="preserve">4, 7, 8</t>
  </si>
  <si>
    <t xml:space="preserve">'Execution' half of the job title is light; most slides talk about planning.</t>
  </si>
  <si>
    <t xml:space="preserve">Mention trajectory control, force/adaptive control and path correction during motion (drilling and sealant work).</t>
  </si>
  <si>
    <t xml:space="preserve">A12</t>
  </si>
  <si>
    <t xml:space="preserve">Appendix</t>
  </si>
  <si>
    <t xml:space="preserve">No backup material for deep questions.</t>
  </si>
  <si>
    <t xml:space="preserve">Add backup slides after the closing (architecture, technical details). Show only if asked.</t>
  </si>
  <si>
    <t xml:space="preserve">A13</t>
  </si>
  <si>
    <t xml:space="preserve">7, 8</t>
  </si>
  <si>
    <t xml:space="preserve">Milestones list features but not results.</t>
  </si>
  <si>
    <t xml:space="preserve">Add one impact per project (e.g. programming time days → hours, first TRL4 demo, teams using it).</t>
  </si>
  <si>
    <t xml:space="preserve">A14</t>
  </si>
  <si>
    <t xml:space="preserve">7–11</t>
  </si>
  <si>
    <t xml:space="preserve">Abbreviations not explained: TRL, RXU, MATS, IMOD2, 1XRD, ZIDJ, OMR/OMT/OMM, VLA.</t>
  </si>
  <si>
    <t xml:space="preserve">Add short footnotes (e.g. TRL = Technology Readiness Level, 1–9).</t>
  </si>
  <si>
    <t xml:space="preserve">A15</t>
  </si>
  <si>
    <t xml:space="preserve">4</t>
  </si>
  <si>
    <t xml:space="preserve">'Enabled Rustom-2's maiden flight' may sound like an over-claim.</t>
  </si>
  <si>
    <t xml:space="preserve">Use 'Contributed flight-control stabilisation software to…'; match led / contributed / mentored to your real role.</t>
  </si>
  <si>
    <t xml:space="preserve">A16</t>
  </si>
  <si>
    <t xml:space="preserve">Content</t>
  </si>
  <si>
    <t xml:space="preserve">Low</t>
  </si>
  <si>
    <t xml:space="preserve">2</t>
  </si>
  <si>
    <t xml:space="preserve">'Grounded Roots • Precision Creativity • Expedition Resilience • Cognitive Integrity' is unclear and repeats the lines above.</t>
  </si>
  <si>
    <t xml:space="preserve">Remove, or replace with 3 plain words.</t>
  </si>
  <si>
    <t xml:space="preserve">A17</t>
  </si>
  <si>
    <t xml:space="preserve">Company logos (NVIDIA, FANUC, Qualcomm, etc.) imply partnerships.</t>
  </si>
  <si>
    <t xml:space="preserve">Keep only real collaborations and be ready to explain each; check Helmut Schmidt University project name.</t>
  </si>
  <si>
    <t xml:space="preserve">A18</t>
  </si>
  <si>
    <t xml:space="preserve">14</t>
  </si>
  <si>
    <t xml:space="preserve">Arrow from phone to framework can read as 'phone feeds the framework'.</t>
  </si>
  <si>
    <t xml:space="preserve">Add caption: 'Like many apps sharing one phone, many robot tasks share one motion framework.'</t>
  </si>
  <si>
    <t xml:space="preserve">Non-technical</t>
  </si>
  <si>
    <t xml:space="preserve">A19</t>
  </si>
  <si>
    <t xml:space="preserve">7</t>
  </si>
  <si>
    <t xml:space="preserve">SAMU expansion may not match a sealant project.</t>
  </si>
  <si>
    <t xml:space="preserve">Verify 'Spraying and Auto Masking Unit' is correct.</t>
  </si>
  <si>
    <t xml:space="preserve">A20</t>
  </si>
  <si>
    <t xml:space="preserve">Visual check</t>
  </si>
  <si>
    <t xml:space="preserve">1</t>
  </si>
  <si>
    <t xml:space="preserve">Title splits as 'Autonom-y in Motion'; 'Rasitha R' overlaps subtitle (seen in conversion; may be font-only).</t>
  </si>
  <si>
    <t xml:space="preserve">Open in PowerPoint and fix if it shows there.</t>
  </si>
  <si>
    <t xml:space="preserve">A21</t>
  </si>
  <si>
    <t xml:space="preserve">'Sealan-t' splits across lines.</t>
  </si>
  <si>
    <t xml:space="preserve">Widen the text box or reduce font.</t>
  </si>
  <si>
    <t xml:space="preserve">A22</t>
  </si>
  <si>
    <t xml:space="preserve">13</t>
  </si>
  <si>
    <t xml:space="preserve">'Repeat for every new panel' touches 'WHAT AUTONOMY CHANGES'.</t>
  </si>
  <si>
    <t xml:space="preserve">Add space between them.</t>
  </si>
  <si>
    <t xml:space="preserve">A23</t>
  </si>
  <si>
    <t xml:space="preserve">Timing</t>
  </si>
  <si>
    <t xml:space="preserve">All</t>
  </si>
  <si>
    <t xml:space="preserve">~15 slides + closing for a 15–20 min slot.</t>
  </si>
  <si>
    <t xml:space="preserve">About 1 min per slide; less on journey/awards, more on milestones and vision. Rehearse with a timer.</t>
  </si>
  <si>
    <t xml:space="preserve">Suggested Slide Order</t>
  </si>
  <si>
    <t xml:space="preserve">Story: Who I am → What is the problem → What I did → Where next</t>
  </si>
  <si>
    <t xml:space="preserve">New #</t>
  </si>
  <si>
    <t xml:space="preserve">Part of story</t>
  </si>
  <si>
    <t xml:space="preserve">Slide</t>
  </si>
  <si>
    <t xml:space="preserve">Current #</t>
  </si>
  <si>
    <t xml:space="preserve">Why it goes here</t>
  </si>
  <si>
    <t xml:space="preserve">Suggested time (min)</t>
  </si>
  <si>
    <t xml:space="preserve">Who I am</t>
  </si>
  <si>
    <t xml:space="preserve">Title</t>
  </si>
  <si>
    <t xml:space="preserve">What Shaped My Journey (one slide only)</t>
  </si>
  <si>
    <t xml:space="preserve">3 (delete 2)</t>
  </si>
  <si>
    <t xml:space="preserve">Keep it under a minute</t>
  </si>
  <si>
    <t xml:space="preserve">Career trajectory</t>
  </si>
  <si>
    <t xml:space="preserve">The problem</t>
  </si>
  <si>
    <t xml:space="preserve">Motion planning: Google Maps</t>
  </si>
  <si>
    <t xml:space="preserve">6</t>
  </si>
  <si>
    <t xml:space="preserve">Simple idea first, for everyone</t>
  </si>
  <si>
    <t xml:space="preserve">A progressive path to autonomy (pyramid)</t>
  </si>
  <si>
    <t xml:space="preserve">12</t>
  </si>
  <si>
    <t xml:space="preserve">Shows the levels of autonomy</t>
  </si>
  <si>
    <t xml:space="preserve">Why autonomous motion matters</t>
  </si>
  <si>
    <t xml:space="preserve">Shows the business pain: repeat for every new panel</t>
  </si>
  <si>
    <t xml:space="preserve">What I did</t>
  </si>
  <si>
    <t xml:space="preserve">My Airbus milestones (1)</t>
  </si>
  <si>
    <t xml:space="preserve">Your work, now with context</t>
  </si>
  <si>
    <t xml:space="preserve">My Airbus milestones (2)</t>
  </si>
  <si>
    <t xml:space="preserve">8</t>
  </si>
  <si>
    <t xml:space="preserve">NEW: Technical deep dive</t>
  </si>
  <si>
    <t xml:space="preserve">One project, sensor → planner → controller → feedback</t>
  </si>
  <si>
    <t xml:space="preserve">Innovation at Airbus</t>
  </si>
  <si>
    <t xml:space="preserve">Turning ideas into shared knowledge</t>
  </si>
  <si>
    <t xml:space="preserve">My network &amp; technical influence</t>
  </si>
  <si>
    <t xml:space="preserve">Achievements &amp; recognition</t>
  </si>
  <si>
    <t xml:space="preserve">Proof others value your work</t>
  </si>
  <si>
    <t xml:space="preserve">Where next</t>
  </si>
  <si>
    <t xml:space="preserve">My vision: one foundation, many applications</t>
  </si>
  <si>
    <t xml:space="preserve">My vision: a complete robotics product</t>
  </si>
  <si>
    <t xml:space="preserve">15</t>
  </si>
  <si>
    <t xml:space="preserve">Vision &amp; challenges</t>
  </si>
  <si>
    <t xml:space="preserve">16</t>
  </si>
  <si>
    <t xml:space="preserve">Summarises the vision</t>
  </si>
  <si>
    <t xml:space="preserve">Close</t>
  </si>
  <si>
    <t xml:space="preserve">NEW: What I bring + Thank you / Questions</t>
  </si>
  <si>
    <t xml:space="preserve">Ends with a clear message</t>
  </si>
  <si>
    <t xml:space="preserve">Backup</t>
  </si>
  <si>
    <t xml:space="preserve">NEW: Backup technical slides</t>
  </si>
  <si>
    <t xml:space="preserve">Show only if asked</t>
  </si>
  <si>
    <t xml:space="preserve">Total planned time (min)</t>
  </si>
  <si>
    <t xml:space="preserve">Blue/yellow minutes are my estimates; change them to fit your slot.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</si>
</sst>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5C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5C"/>
        <bgColor rgb="FF333333"/>
      </patternFill>
    </fill>
    <fill>
      <patternFill patternType="solid">
        <fgColor rgb="FFFFF4B3"/>
        <bgColor rgb="FFFCE5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E0"/>
      </left>
      <right style="thin">
        <color rgb="FFD0D5E0"/>
      </right>
      <top style="thin">
        <color rgb="FFD0D5E0"/>
      </top>
      <bottom style="thin">
        <color rgb="FFD0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2A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FD9"/>
          <bgColor rgb="FF000000"/>
        </patternFill>
      </fill>
    </dxf>
    <dxf>
      <fill>
        <patternFill patternType="solid">
          <fgColor rgb="FFF8D0D0"/>
          <bgColor rgb="FF000000"/>
        </patternFill>
      </fill>
    </dxf>
    <dxf>
      <fill>
        <patternFill patternType="solid">
          <fgColor rgb="FFFCE5C4"/>
          <bgColor rgb="FF000000"/>
        </patternFill>
      </fill>
    </dxf>
    <dxf>
      <fill>
        <patternFill patternType="solid">
          <fgColor rgb="FFFFF4B3"/>
          <bgColor rgb="FF000000"/>
        </patternFill>
      </fill>
    </dxf>
    <dxf>
      <fill>
        <patternFill>
          <bgColor rgb="FFF8D0D0"/>
        </patternFill>
      </fill>
    </dxf>
    <dxf>
      <fill>
        <patternFill>
          <bgColor rgb="FFFCE5C4"/>
        </patternFill>
      </fill>
    </dxf>
    <dxf>
      <fill>
        <patternFill>
          <bgColor rgb="FFDCEFD9"/>
        </patternFill>
      </fill>
    </dxf>
    <dxf>
      <fill>
        <patternFill>
          <bgColor rgb="FFC6E8C2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B3"/>
      <rgbColor rgb="FFC6E8C2"/>
      <rgbColor rgb="FF660066"/>
      <rgbColor rgb="FFFF8080"/>
      <rgbColor rgb="FF0066CC"/>
      <rgbColor rgb="FFD0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FD9"/>
      <rgbColor rgb="FFFCE5C4"/>
      <rgbColor rgb="FF99CCFF"/>
      <rgbColor rgb="FFFF99CC"/>
      <rgbColor rgb="FFCC99FF"/>
      <rgbColor rgb="FFF8D0D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2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COUNTIF('Action Checklist'!$H$5:$H$27,A5)</f>
        <v>23</v>
      </c>
    </row>
    <row r="6" customFormat="false" ht="15" hidden="false" customHeight="false" outlineLevel="0" collapsed="false">
      <c r="A6" s="4" t="s">
        <v>5</v>
      </c>
      <c r="B6" s="4" t="n">
        <f aca="false">COUNTIF('Action Checklist'!$H$5:$H$27,A6)</f>
        <v>0</v>
      </c>
    </row>
    <row r="7" customFormat="false" ht="15" hidden="false" customHeight="false" outlineLevel="0" collapsed="false">
      <c r="A7" s="4" t="s">
        <v>6</v>
      </c>
      <c r="B7" s="4" t="n">
        <f aca="false">COUNTIF('Action Checklist'!$H$5:$H$27,A7)</f>
        <v>0</v>
      </c>
    </row>
    <row r="8" customFormat="false" ht="15" hidden="false" customHeight="false" outlineLevel="0" collapsed="false">
      <c r="A8" s="4" t="s">
        <v>7</v>
      </c>
      <c r="B8" s="4" t="n">
        <f aca="false">COUNTIF('Action Checklist'!$H$5:$H$27,A8)</f>
        <v>0</v>
      </c>
    </row>
    <row r="9" customFormat="false" ht="15" hidden="false" customHeight="false" outlineLevel="0" collapsed="false">
      <c r="A9" s="5" t="s">
        <v>8</v>
      </c>
      <c r="B9" s="5" t="n">
        <f aca="false">SUM(B5:B8)</f>
        <v>23</v>
      </c>
    </row>
    <row r="10" customFormat="false" ht="15" hidden="false" customHeight="false" outlineLevel="0" collapsed="false">
      <c r="A10" s="5" t="s">
        <v>9</v>
      </c>
      <c r="B10" s="6" t="n">
        <f aca="false">IF(B9=0,0,B7/B9)</f>
        <v>0</v>
      </c>
    </row>
    <row r="12" customFormat="false" ht="15" hidden="false" customHeight="false" outlineLevel="0" collapsed="false">
      <c r="A12" s="5" t="s">
        <v>10</v>
      </c>
      <c r="B12" s="7" t="n">
        <f aca="false">COUNTIFS('Action Checklist'!$C$5:$C$27,"High",'Action Checklist'!$H$5:$H$27,"&lt;&gt;Done")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48"/>
    <col collapsed="false" customWidth="true" hidden="false" outlineLevel="0" max="6" min="6" style="0" width="52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32"/>
  </cols>
  <sheetData>
    <row r="1" customFormat="false" ht="19.7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12</v>
      </c>
    </row>
    <row r="4" customFormat="false" ht="39.55" hidden="false" customHeight="false" outlineLevel="0" collapsed="false">
      <c r="A4" s="8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</v>
      </c>
      <c r="I4" s="8" t="s">
        <v>20</v>
      </c>
    </row>
    <row r="5" customFormat="false" ht="35.05" hidden="false" customHeight="false" outlineLevel="0" collapsed="false">
      <c r="A5" s="9" t="s">
        <v>21</v>
      </c>
      <c r="B5" s="9" t="s">
        <v>22</v>
      </c>
      <c r="C5" s="9" t="s">
        <v>23</v>
      </c>
      <c r="D5" s="9" t="s">
        <v>24</v>
      </c>
      <c r="E5" s="9" t="s">
        <v>25</v>
      </c>
      <c r="F5" s="9" t="s">
        <v>26</v>
      </c>
      <c r="G5" s="9" t="s">
        <v>27</v>
      </c>
      <c r="H5" s="10" t="s">
        <v>4</v>
      </c>
      <c r="I5" s="10"/>
    </row>
    <row r="6" customFormat="false" ht="15" hidden="false" customHeight="false" outlineLevel="0" collapsed="false">
      <c r="A6" s="9" t="s">
        <v>28</v>
      </c>
      <c r="B6" s="9" t="s">
        <v>22</v>
      </c>
      <c r="C6" s="9" t="s">
        <v>23</v>
      </c>
      <c r="D6" s="9" t="s">
        <v>29</v>
      </c>
      <c r="E6" s="9" t="s">
        <v>30</v>
      </c>
      <c r="F6" s="9" t="s">
        <v>31</v>
      </c>
      <c r="G6" s="9" t="s">
        <v>27</v>
      </c>
      <c r="H6" s="10" t="s">
        <v>4</v>
      </c>
      <c r="I6" s="10"/>
    </row>
    <row r="7" customFormat="false" ht="23.85" hidden="false" customHeight="false" outlineLevel="0" collapsed="false">
      <c r="A7" s="9" t="s">
        <v>32</v>
      </c>
      <c r="B7" s="9" t="s">
        <v>22</v>
      </c>
      <c r="C7" s="9" t="s">
        <v>23</v>
      </c>
      <c r="D7" s="9" t="s">
        <v>33</v>
      </c>
      <c r="E7" s="9" t="s">
        <v>34</v>
      </c>
      <c r="F7" s="9" t="s">
        <v>35</v>
      </c>
      <c r="G7" s="9" t="s">
        <v>27</v>
      </c>
      <c r="H7" s="10" t="s">
        <v>4</v>
      </c>
      <c r="I7" s="10"/>
    </row>
    <row r="8" customFormat="false" ht="15" hidden="false" customHeight="false" outlineLevel="0" collapsed="false">
      <c r="A8" s="9" t="s">
        <v>36</v>
      </c>
      <c r="B8" s="9" t="s">
        <v>22</v>
      </c>
      <c r="C8" s="9" t="s">
        <v>23</v>
      </c>
      <c r="D8" s="9" t="s">
        <v>37</v>
      </c>
      <c r="E8" s="9" t="s">
        <v>38</v>
      </c>
      <c r="F8" s="9" t="s">
        <v>39</v>
      </c>
      <c r="G8" s="9" t="s">
        <v>27</v>
      </c>
      <c r="H8" s="10" t="s">
        <v>4</v>
      </c>
      <c r="I8" s="10"/>
    </row>
    <row r="9" customFormat="false" ht="15" hidden="false" customHeight="false" outlineLevel="0" collapsed="false">
      <c r="A9" s="9" t="s">
        <v>40</v>
      </c>
      <c r="B9" s="9" t="s">
        <v>22</v>
      </c>
      <c r="C9" s="9" t="s">
        <v>23</v>
      </c>
      <c r="D9" s="9" t="s">
        <v>41</v>
      </c>
      <c r="E9" s="9" t="s">
        <v>42</v>
      </c>
      <c r="F9" s="9" t="s">
        <v>43</v>
      </c>
      <c r="G9" s="9" t="s">
        <v>27</v>
      </c>
      <c r="H9" s="10" t="s">
        <v>4</v>
      </c>
      <c r="I9" s="10"/>
    </row>
    <row r="10" customFormat="false" ht="15" hidden="false" customHeight="false" outlineLevel="0" collapsed="false">
      <c r="A10" s="9" t="s">
        <v>44</v>
      </c>
      <c r="B10" s="9" t="s">
        <v>22</v>
      </c>
      <c r="C10" s="9" t="s">
        <v>23</v>
      </c>
      <c r="D10" s="9" t="s">
        <v>45</v>
      </c>
      <c r="E10" s="9" t="s">
        <v>46</v>
      </c>
      <c r="F10" s="9" t="s">
        <v>47</v>
      </c>
      <c r="G10" s="9" t="s">
        <v>48</v>
      </c>
      <c r="H10" s="10" t="s">
        <v>4</v>
      </c>
      <c r="I10" s="10"/>
    </row>
    <row r="11" customFormat="false" ht="23.85" hidden="false" customHeight="false" outlineLevel="0" collapsed="false">
      <c r="A11" s="9" t="s">
        <v>49</v>
      </c>
      <c r="B11" s="9" t="s">
        <v>50</v>
      </c>
      <c r="C11" s="9" t="s">
        <v>51</v>
      </c>
      <c r="D11" s="9" t="s">
        <v>52</v>
      </c>
      <c r="E11" s="9" t="s">
        <v>53</v>
      </c>
      <c r="F11" s="9" t="s">
        <v>54</v>
      </c>
      <c r="G11" s="9" t="s">
        <v>55</v>
      </c>
      <c r="H11" s="10" t="s">
        <v>4</v>
      </c>
      <c r="I11" s="10"/>
    </row>
    <row r="12" customFormat="false" ht="15" hidden="false" customHeight="false" outlineLevel="0" collapsed="false">
      <c r="A12" s="9" t="s">
        <v>56</v>
      </c>
      <c r="B12" s="9" t="s">
        <v>50</v>
      </c>
      <c r="C12" s="9" t="s">
        <v>51</v>
      </c>
      <c r="D12" s="9" t="s">
        <v>33</v>
      </c>
      <c r="E12" s="9" t="s">
        <v>57</v>
      </c>
      <c r="F12" s="9" t="s">
        <v>58</v>
      </c>
      <c r="G12" s="9" t="s">
        <v>48</v>
      </c>
      <c r="H12" s="10" t="s">
        <v>4</v>
      </c>
      <c r="I12" s="10"/>
    </row>
    <row r="13" customFormat="false" ht="23.85" hidden="false" customHeight="false" outlineLevel="0" collapsed="false">
      <c r="A13" s="9" t="s">
        <v>59</v>
      </c>
      <c r="B13" s="9" t="s">
        <v>50</v>
      </c>
      <c r="C13" s="9" t="s">
        <v>23</v>
      </c>
      <c r="D13" s="9" t="s">
        <v>60</v>
      </c>
      <c r="E13" s="9" t="s">
        <v>61</v>
      </c>
      <c r="F13" s="9" t="s">
        <v>62</v>
      </c>
      <c r="G13" s="9" t="s">
        <v>27</v>
      </c>
      <c r="H13" s="10" t="s">
        <v>4</v>
      </c>
      <c r="I13" s="10"/>
    </row>
    <row r="14" customFormat="false" ht="35.05" hidden="false" customHeight="false" outlineLevel="0" collapsed="false">
      <c r="A14" s="9" t="s">
        <v>63</v>
      </c>
      <c r="B14" s="9" t="s">
        <v>64</v>
      </c>
      <c r="C14" s="9" t="s">
        <v>23</v>
      </c>
      <c r="D14" s="9" t="s">
        <v>60</v>
      </c>
      <c r="E14" s="9" t="s">
        <v>65</v>
      </c>
      <c r="F14" s="9" t="s">
        <v>66</v>
      </c>
      <c r="G14" s="9" t="s">
        <v>67</v>
      </c>
      <c r="H14" s="10" t="s">
        <v>4</v>
      </c>
      <c r="I14" s="10"/>
    </row>
    <row r="15" customFormat="false" ht="23.85" hidden="false" customHeight="false" outlineLevel="0" collapsed="false">
      <c r="A15" s="9" t="s">
        <v>68</v>
      </c>
      <c r="B15" s="9" t="s">
        <v>64</v>
      </c>
      <c r="C15" s="9" t="s">
        <v>51</v>
      </c>
      <c r="D15" s="9" t="s">
        <v>69</v>
      </c>
      <c r="E15" s="9" t="s">
        <v>70</v>
      </c>
      <c r="F15" s="9" t="s">
        <v>71</v>
      </c>
      <c r="G15" s="9" t="s">
        <v>67</v>
      </c>
      <c r="H15" s="10" t="s">
        <v>4</v>
      </c>
      <c r="I15" s="10"/>
    </row>
    <row r="16" customFormat="false" ht="23.85" hidden="false" customHeight="false" outlineLevel="0" collapsed="false">
      <c r="A16" s="9" t="s">
        <v>72</v>
      </c>
      <c r="B16" s="9" t="s">
        <v>64</v>
      </c>
      <c r="C16" s="9" t="s">
        <v>51</v>
      </c>
      <c r="D16" s="9" t="s">
        <v>73</v>
      </c>
      <c r="E16" s="9" t="s">
        <v>74</v>
      </c>
      <c r="F16" s="9" t="s">
        <v>75</v>
      </c>
      <c r="G16" s="9" t="s">
        <v>67</v>
      </c>
      <c r="H16" s="10" t="s">
        <v>4</v>
      </c>
      <c r="I16" s="10"/>
    </row>
    <row r="17" customFormat="false" ht="23.85" hidden="false" customHeight="false" outlineLevel="0" collapsed="false">
      <c r="A17" s="9" t="s">
        <v>76</v>
      </c>
      <c r="B17" s="9" t="s">
        <v>48</v>
      </c>
      <c r="C17" s="9" t="s">
        <v>23</v>
      </c>
      <c r="D17" s="9" t="s">
        <v>77</v>
      </c>
      <c r="E17" s="9" t="s">
        <v>78</v>
      </c>
      <c r="F17" s="9" t="s">
        <v>79</v>
      </c>
      <c r="G17" s="9" t="s">
        <v>48</v>
      </c>
      <c r="H17" s="10" t="s">
        <v>4</v>
      </c>
      <c r="I17" s="10"/>
    </row>
    <row r="18" customFormat="false" ht="23.85" hidden="false" customHeight="false" outlineLevel="0" collapsed="false">
      <c r="A18" s="9" t="s">
        <v>80</v>
      </c>
      <c r="B18" s="9" t="s">
        <v>48</v>
      </c>
      <c r="C18" s="9" t="s">
        <v>51</v>
      </c>
      <c r="D18" s="9" t="s">
        <v>81</v>
      </c>
      <c r="E18" s="9" t="s">
        <v>82</v>
      </c>
      <c r="F18" s="9" t="s">
        <v>83</v>
      </c>
      <c r="G18" s="9" t="s">
        <v>55</v>
      </c>
      <c r="H18" s="10" t="s">
        <v>4</v>
      </c>
      <c r="I18" s="10"/>
    </row>
    <row r="19" customFormat="false" ht="23.85" hidden="false" customHeight="false" outlineLevel="0" collapsed="false">
      <c r="A19" s="9" t="s">
        <v>84</v>
      </c>
      <c r="B19" s="9" t="s">
        <v>48</v>
      </c>
      <c r="C19" s="9" t="s">
        <v>51</v>
      </c>
      <c r="D19" s="9" t="s">
        <v>85</v>
      </c>
      <c r="E19" s="9" t="s">
        <v>86</v>
      </c>
      <c r="F19" s="9" t="s">
        <v>87</v>
      </c>
      <c r="G19" s="9" t="s">
        <v>48</v>
      </c>
      <c r="H19" s="10" t="s">
        <v>4</v>
      </c>
      <c r="I19" s="10"/>
    </row>
    <row r="20" customFormat="false" ht="35.05" hidden="false" customHeight="false" outlineLevel="0" collapsed="false">
      <c r="A20" s="9" t="s">
        <v>88</v>
      </c>
      <c r="B20" s="9" t="s">
        <v>89</v>
      </c>
      <c r="C20" s="9" t="s">
        <v>90</v>
      </c>
      <c r="D20" s="9" t="s">
        <v>91</v>
      </c>
      <c r="E20" s="9" t="s">
        <v>92</v>
      </c>
      <c r="F20" s="9" t="s">
        <v>93</v>
      </c>
      <c r="G20" s="9" t="s">
        <v>27</v>
      </c>
      <c r="H20" s="10" t="s">
        <v>4</v>
      </c>
      <c r="I20" s="10"/>
    </row>
    <row r="21" customFormat="false" ht="23.85" hidden="false" customHeight="false" outlineLevel="0" collapsed="false">
      <c r="A21" s="9" t="s">
        <v>94</v>
      </c>
      <c r="B21" s="9" t="s">
        <v>89</v>
      </c>
      <c r="C21" s="9" t="s">
        <v>51</v>
      </c>
      <c r="D21" s="9" t="s">
        <v>41</v>
      </c>
      <c r="E21" s="9" t="s">
        <v>95</v>
      </c>
      <c r="F21" s="9" t="s">
        <v>96</v>
      </c>
      <c r="G21" s="9" t="s">
        <v>48</v>
      </c>
      <c r="H21" s="10" t="s">
        <v>4</v>
      </c>
      <c r="I21" s="10"/>
    </row>
    <row r="22" customFormat="false" ht="23.85" hidden="false" customHeight="false" outlineLevel="0" collapsed="false">
      <c r="A22" s="9" t="s">
        <v>97</v>
      </c>
      <c r="B22" s="9" t="s">
        <v>89</v>
      </c>
      <c r="C22" s="9" t="s">
        <v>90</v>
      </c>
      <c r="D22" s="9" t="s">
        <v>98</v>
      </c>
      <c r="E22" s="9" t="s">
        <v>99</v>
      </c>
      <c r="F22" s="9" t="s">
        <v>100</v>
      </c>
      <c r="G22" s="9" t="s">
        <v>101</v>
      </c>
      <c r="H22" s="10" t="s">
        <v>4</v>
      </c>
      <c r="I22" s="10"/>
    </row>
    <row r="23" customFormat="false" ht="15" hidden="false" customHeight="false" outlineLevel="0" collapsed="false">
      <c r="A23" s="9" t="s">
        <v>102</v>
      </c>
      <c r="B23" s="9" t="s">
        <v>89</v>
      </c>
      <c r="C23" s="9" t="s">
        <v>90</v>
      </c>
      <c r="D23" s="9" t="s">
        <v>103</v>
      </c>
      <c r="E23" s="9" t="s">
        <v>104</v>
      </c>
      <c r="F23" s="9" t="s">
        <v>105</v>
      </c>
      <c r="G23" s="9" t="s">
        <v>27</v>
      </c>
      <c r="H23" s="10" t="s">
        <v>4</v>
      </c>
      <c r="I23" s="10"/>
    </row>
    <row r="24" customFormat="false" ht="23.85" hidden="false" customHeight="false" outlineLevel="0" collapsed="false">
      <c r="A24" s="9" t="s">
        <v>106</v>
      </c>
      <c r="B24" s="9" t="s">
        <v>107</v>
      </c>
      <c r="C24" s="9" t="s">
        <v>51</v>
      </c>
      <c r="D24" s="9" t="s">
        <v>108</v>
      </c>
      <c r="E24" s="9" t="s">
        <v>109</v>
      </c>
      <c r="F24" s="9" t="s">
        <v>110</v>
      </c>
      <c r="G24" s="9" t="s">
        <v>27</v>
      </c>
      <c r="H24" s="10" t="s">
        <v>4</v>
      </c>
      <c r="I24" s="10"/>
    </row>
    <row r="25" customFormat="false" ht="15" hidden="false" customHeight="false" outlineLevel="0" collapsed="false">
      <c r="A25" s="9" t="s">
        <v>111</v>
      </c>
      <c r="B25" s="9" t="s">
        <v>107</v>
      </c>
      <c r="C25" s="9" t="s">
        <v>90</v>
      </c>
      <c r="D25" s="9" t="s">
        <v>98</v>
      </c>
      <c r="E25" s="9" t="s">
        <v>112</v>
      </c>
      <c r="F25" s="9" t="s">
        <v>113</v>
      </c>
      <c r="G25" s="9" t="s">
        <v>27</v>
      </c>
      <c r="H25" s="10" t="s">
        <v>4</v>
      </c>
      <c r="I25" s="10"/>
    </row>
    <row r="26" customFormat="false" ht="23.85" hidden="false" customHeight="false" outlineLevel="0" collapsed="false">
      <c r="A26" s="9" t="s">
        <v>114</v>
      </c>
      <c r="B26" s="9" t="s">
        <v>107</v>
      </c>
      <c r="C26" s="9" t="s">
        <v>90</v>
      </c>
      <c r="D26" s="9" t="s">
        <v>115</v>
      </c>
      <c r="E26" s="9" t="s">
        <v>116</v>
      </c>
      <c r="F26" s="9" t="s">
        <v>117</v>
      </c>
      <c r="G26" s="9" t="s">
        <v>27</v>
      </c>
      <c r="H26" s="10" t="s">
        <v>4</v>
      </c>
      <c r="I26" s="10"/>
    </row>
    <row r="27" customFormat="false" ht="23.85" hidden="false" customHeight="false" outlineLevel="0" collapsed="false">
      <c r="A27" s="9" t="s">
        <v>118</v>
      </c>
      <c r="B27" s="9" t="s">
        <v>119</v>
      </c>
      <c r="C27" s="9" t="s">
        <v>51</v>
      </c>
      <c r="D27" s="9" t="s">
        <v>120</v>
      </c>
      <c r="E27" s="9" t="s">
        <v>121</v>
      </c>
      <c r="F27" s="9" t="s">
        <v>122</v>
      </c>
      <c r="G27" s="9" t="s">
        <v>27</v>
      </c>
      <c r="H27" s="10" t="s">
        <v>4</v>
      </c>
      <c r="I27" s="10"/>
    </row>
  </sheetData>
  <autoFilter ref="A4:I27"/>
  <conditionalFormatting sqref="C5:C27">
    <cfRule type="cellIs" priority="2" operator="equal" aboveAverage="0" equalAverage="0" bottom="0" percent="0" rank="0" text="" dxfId="7">
      <formula>"High"</formula>
    </cfRule>
    <cfRule type="cellIs" priority="3" operator="equal" aboveAverage="0" equalAverage="0" bottom="0" percent="0" rank="0" text="" dxfId="8">
      <formula>"Medium"</formula>
    </cfRule>
    <cfRule type="cellIs" priority="4" operator="equal" aboveAverage="0" equalAverage="0" bottom="0" percent="0" rank="0" text="" dxfId="9">
      <formula>"Low"</formula>
    </cfRule>
  </conditionalFormatting>
  <conditionalFormatting sqref="H5:H27">
    <cfRule type="cellIs" priority="5" operator="equal" aboveAverage="0" equalAverage="0" bottom="0" percent="0" rank="0" text="" dxfId="10">
      <formula>"Done"</formula>
    </cfRule>
  </conditionalFormatting>
  <dataValidations count="2">
    <dataValidation allowBlank="true" errorStyle="stop" operator="between" showDropDown="false" showErrorMessage="false" showInputMessage="false" sqref="H5:H27" type="list">
      <formula1>"Not started,In progress,Done,Skipped"</formula1>
      <formula2>0</formula2>
    </dataValidation>
    <dataValidation allowBlank="false" errorStyle="stop" operator="between" showDropDown="false" showErrorMessage="false" showInputMessage="false" sqref="C5:C27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48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" t="s">
        <v>124</v>
      </c>
    </row>
    <row r="4" customFormat="false" ht="26.85" hidden="false" customHeight="false" outlineLevel="0" collapsed="false">
      <c r="A4" s="8" t="s">
        <v>125</v>
      </c>
      <c r="B4" s="8" t="s">
        <v>126</v>
      </c>
      <c r="C4" s="8" t="s">
        <v>127</v>
      </c>
      <c r="D4" s="8" t="s">
        <v>128</v>
      </c>
      <c r="E4" s="8" t="s">
        <v>129</v>
      </c>
      <c r="F4" s="8" t="s">
        <v>130</v>
      </c>
    </row>
    <row r="5" customFormat="false" ht="15" hidden="false" customHeight="false" outlineLevel="0" collapsed="false">
      <c r="A5" s="9" t="n">
        <v>1</v>
      </c>
      <c r="B5" s="9" t="s">
        <v>131</v>
      </c>
      <c r="C5" s="9" t="s">
        <v>132</v>
      </c>
      <c r="D5" s="9" t="s">
        <v>108</v>
      </c>
      <c r="E5" s="9"/>
      <c r="F5" s="11" t="n">
        <v>0.5</v>
      </c>
    </row>
    <row r="6" customFormat="false" ht="15" hidden="false" customHeight="false" outlineLevel="0" collapsed="false">
      <c r="A6" s="9" t="n">
        <v>2</v>
      </c>
      <c r="B6" s="9" t="s">
        <v>131</v>
      </c>
      <c r="C6" s="9" t="s">
        <v>133</v>
      </c>
      <c r="D6" s="9" t="s">
        <v>134</v>
      </c>
      <c r="E6" s="9" t="s">
        <v>135</v>
      </c>
      <c r="F6" s="11" t="n">
        <v>1</v>
      </c>
    </row>
    <row r="7" customFormat="false" ht="15" hidden="false" customHeight="false" outlineLevel="0" collapsed="false">
      <c r="A7" s="9" t="n">
        <v>3</v>
      </c>
      <c r="B7" s="9" t="s">
        <v>131</v>
      </c>
      <c r="C7" s="9" t="s">
        <v>136</v>
      </c>
      <c r="D7" s="9" t="s">
        <v>85</v>
      </c>
      <c r="E7" s="9"/>
      <c r="F7" s="11" t="n">
        <v>1</v>
      </c>
    </row>
    <row r="8" customFormat="false" ht="15" hidden="false" customHeight="false" outlineLevel="0" collapsed="false">
      <c r="A8" s="9" t="n">
        <v>4</v>
      </c>
      <c r="B8" s="9" t="s">
        <v>137</v>
      </c>
      <c r="C8" s="9" t="s">
        <v>138</v>
      </c>
      <c r="D8" s="9" t="s">
        <v>139</v>
      </c>
      <c r="E8" s="9" t="s">
        <v>140</v>
      </c>
      <c r="F8" s="11" t="n">
        <v>1</v>
      </c>
    </row>
    <row r="9" customFormat="false" ht="15" hidden="false" customHeight="false" outlineLevel="0" collapsed="false">
      <c r="A9" s="9" t="n">
        <v>5</v>
      </c>
      <c r="B9" s="9" t="s">
        <v>137</v>
      </c>
      <c r="C9" s="9" t="s">
        <v>141</v>
      </c>
      <c r="D9" s="9" t="s">
        <v>142</v>
      </c>
      <c r="E9" s="9" t="s">
        <v>143</v>
      </c>
      <c r="F9" s="11" t="n">
        <v>1</v>
      </c>
    </row>
    <row r="10" customFormat="false" ht="15" hidden="false" customHeight="false" outlineLevel="0" collapsed="false">
      <c r="A10" s="9" t="n">
        <v>6</v>
      </c>
      <c r="B10" s="9" t="s">
        <v>137</v>
      </c>
      <c r="C10" s="9" t="s">
        <v>144</v>
      </c>
      <c r="D10" s="9" t="s">
        <v>115</v>
      </c>
      <c r="E10" s="9" t="s">
        <v>145</v>
      </c>
      <c r="F10" s="11" t="n">
        <v>1</v>
      </c>
    </row>
    <row r="11" customFormat="false" ht="15" hidden="false" customHeight="false" outlineLevel="0" collapsed="false">
      <c r="A11" s="9" t="n">
        <v>7</v>
      </c>
      <c r="B11" s="9" t="s">
        <v>146</v>
      </c>
      <c r="C11" s="9" t="s">
        <v>147</v>
      </c>
      <c r="D11" s="9" t="s">
        <v>103</v>
      </c>
      <c r="E11" s="9" t="s">
        <v>148</v>
      </c>
      <c r="F11" s="11" t="n">
        <v>1.5</v>
      </c>
    </row>
    <row r="12" customFormat="false" ht="15" hidden="false" customHeight="false" outlineLevel="0" collapsed="false">
      <c r="A12" s="9" t="n">
        <v>8</v>
      </c>
      <c r="B12" s="9" t="s">
        <v>146</v>
      </c>
      <c r="C12" s="9" t="s">
        <v>149</v>
      </c>
      <c r="D12" s="9" t="s">
        <v>150</v>
      </c>
      <c r="E12" s="9"/>
      <c r="F12" s="11" t="n">
        <v>1.5</v>
      </c>
    </row>
    <row r="13" customFormat="false" ht="15" hidden="false" customHeight="false" outlineLevel="0" collapsed="false">
      <c r="A13" s="9" t="n">
        <v>9</v>
      </c>
      <c r="B13" s="9" t="s">
        <v>146</v>
      </c>
      <c r="C13" s="9" t="s">
        <v>151</v>
      </c>
      <c r="D13" s="9" t="s">
        <v>60</v>
      </c>
      <c r="E13" s="9" t="s">
        <v>152</v>
      </c>
      <c r="F13" s="11" t="n">
        <v>1.5</v>
      </c>
    </row>
    <row r="14" customFormat="false" ht="15" hidden="false" customHeight="false" outlineLevel="0" collapsed="false">
      <c r="A14" s="9" t="n">
        <v>10</v>
      </c>
      <c r="B14" s="9" t="s">
        <v>146</v>
      </c>
      <c r="C14" s="9" t="s">
        <v>153</v>
      </c>
      <c r="D14" s="9" t="s">
        <v>37</v>
      </c>
      <c r="E14" s="9"/>
      <c r="F14" s="11" t="n">
        <v>1</v>
      </c>
    </row>
    <row r="15" customFormat="false" ht="15" hidden="false" customHeight="false" outlineLevel="0" collapsed="false">
      <c r="A15" s="9" t="n">
        <v>11</v>
      </c>
      <c r="B15" s="9" t="s">
        <v>146</v>
      </c>
      <c r="C15" s="9" t="s">
        <v>154</v>
      </c>
      <c r="D15" s="9" t="s">
        <v>45</v>
      </c>
      <c r="E15" s="9"/>
      <c r="F15" s="11" t="n">
        <v>1</v>
      </c>
    </row>
    <row r="16" customFormat="false" ht="15" hidden="false" customHeight="false" outlineLevel="0" collapsed="false">
      <c r="A16" s="9" t="n">
        <v>12</v>
      </c>
      <c r="B16" s="9" t="s">
        <v>146</v>
      </c>
      <c r="C16" s="9" t="s">
        <v>155</v>
      </c>
      <c r="D16" s="9" t="s">
        <v>41</v>
      </c>
      <c r="E16" s="9"/>
      <c r="F16" s="11" t="n">
        <v>1</v>
      </c>
    </row>
    <row r="17" customFormat="false" ht="15" hidden="false" customHeight="false" outlineLevel="0" collapsed="false">
      <c r="A17" s="9" t="n">
        <v>13</v>
      </c>
      <c r="B17" s="9" t="s">
        <v>146</v>
      </c>
      <c r="C17" s="9" t="s">
        <v>156</v>
      </c>
      <c r="D17" s="9" t="s">
        <v>33</v>
      </c>
      <c r="E17" s="9" t="s">
        <v>157</v>
      </c>
      <c r="F17" s="11" t="n">
        <v>0.5</v>
      </c>
    </row>
    <row r="18" customFormat="false" ht="15" hidden="false" customHeight="false" outlineLevel="0" collapsed="false">
      <c r="A18" s="9" t="n">
        <v>14</v>
      </c>
      <c r="B18" s="9" t="s">
        <v>158</v>
      </c>
      <c r="C18" s="9" t="s">
        <v>159</v>
      </c>
      <c r="D18" s="9" t="s">
        <v>98</v>
      </c>
      <c r="E18" s="9"/>
      <c r="F18" s="11" t="n">
        <v>1</v>
      </c>
    </row>
    <row r="19" customFormat="false" ht="15" hidden="false" customHeight="false" outlineLevel="0" collapsed="false">
      <c r="A19" s="9" t="n">
        <v>15</v>
      </c>
      <c r="B19" s="9" t="s">
        <v>158</v>
      </c>
      <c r="C19" s="9" t="s">
        <v>160</v>
      </c>
      <c r="D19" s="9" t="s">
        <v>161</v>
      </c>
      <c r="E19" s="9"/>
      <c r="F19" s="11" t="n">
        <v>1</v>
      </c>
    </row>
    <row r="20" customFormat="false" ht="15" hidden="false" customHeight="false" outlineLevel="0" collapsed="false">
      <c r="A20" s="9" t="n">
        <v>16</v>
      </c>
      <c r="B20" s="9" t="s">
        <v>158</v>
      </c>
      <c r="C20" s="9" t="s">
        <v>162</v>
      </c>
      <c r="D20" s="9" t="s">
        <v>163</v>
      </c>
      <c r="E20" s="9" t="s">
        <v>164</v>
      </c>
      <c r="F20" s="11" t="n">
        <v>1</v>
      </c>
    </row>
    <row r="21" customFormat="false" ht="15" hidden="false" customHeight="false" outlineLevel="0" collapsed="false">
      <c r="A21" s="9" t="n">
        <v>17</v>
      </c>
      <c r="B21" s="9" t="s">
        <v>165</v>
      </c>
      <c r="C21" s="9" t="s">
        <v>166</v>
      </c>
      <c r="D21" s="9" t="s">
        <v>60</v>
      </c>
      <c r="E21" s="9" t="s">
        <v>167</v>
      </c>
      <c r="F21" s="11" t="n">
        <v>0.5</v>
      </c>
    </row>
    <row r="22" customFormat="false" ht="15" hidden="false" customHeight="false" outlineLevel="0" collapsed="false">
      <c r="A22" s="9" t="n">
        <v>18</v>
      </c>
      <c r="B22" s="9" t="s">
        <v>168</v>
      </c>
      <c r="C22" s="9" t="s">
        <v>169</v>
      </c>
      <c r="D22" s="9" t="s">
        <v>60</v>
      </c>
      <c r="E22" s="9" t="s">
        <v>170</v>
      </c>
      <c r="F22" s="11" t="n">
        <v>0</v>
      </c>
    </row>
    <row r="23" customFormat="false" ht="15" hidden="false" customHeight="false" outlineLevel="0" collapsed="false">
      <c r="E23" s="5" t="s">
        <v>171</v>
      </c>
      <c r="F23" s="5" t="n">
        <f aca="false">SUM(F5:F22)</f>
        <v>17</v>
      </c>
    </row>
    <row r="24" customFormat="false" ht="15" hidden="false" customHeight="false" outlineLevel="0" collapsed="false">
      <c r="E24" s="12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2026-10-27T01:19:04Z</dcterms:created>
  <dc:creator>openpyxl</dc:creator>
  <dc:description/>
  <dc:language>en-US</dc:language>
  <cp:lastModifiedBy/>
  <dcterms:modified xsi:type="dcterms:W3CDTF">2026-10-27T01:19:04Z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